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wnloads\"/>
    </mc:Choice>
  </mc:AlternateContent>
  <xr:revisionPtr revIDLastSave="0" documentId="8_{32614762-65BD-41C9-8E59-128F9D8B71A4}" xr6:coauthVersionLast="47" xr6:coauthVersionMax="47" xr10:uidLastSave="{00000000-0000-0000-0000-000000000000}"/>
  <bookViews>
    <workbookView xWindow="-98" yWindow="-98" windowWidth="21795" windowHeight="12975" activeTab="3" xr2:uid="{A9B3763D-B35D-4DF8-8B3B-50CC1A9343DA}"/>
  </bookViews>
  <sheets>
    <sheet name="Demanda" sheetId="1" r:id="rId1"/>
    <sheet name="Pronosticos" sheetId="2" r:id="rId2"/>
    <sheet name="Errores" sheetId="3" r:id="rId3"/>
    <sheet name="Resum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2" i="4"/>
  <c r="C6" i="4"/>
  <c r="B6" i="4"/>
  <c r="C5" i="4"/>
  <c r="B5" i="4"/>
  <c r="C4" i="4"/>
  <c r="B4" i="4"/>
  <c r="C3" i="4"/>
  <c r="B3" i="4"/>
  <c r="C2" i="4"/>
  <c r="B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F2" i="3"/>
  <c r="E2" i="3"/>
  <c r="P2" i="2" a="1"/>
  <c r="P2" i="2" s="1"/>
  <c r="O2" i="2" a="1"/>
  <c r="O2" i="2" s="1"/>
  <c r="N2" i="2" a="1"/>
  <c r="N2" i="2" s="1"/>
  <c r="M2" i="2" a="1"/>
  <c r="M2" i="2" s="1"/>
  <c r="L2" i="2" a="1"/>
  <c r="L2" i="2" s="1"/>
  <c r="K3" i="2"/>
  <c r="K4" i="2"/>
  <c r="K5" i="2"/>
  <c r="K6" i="2"/>
  <c r="K7" i="2"/>
  <c r="K8" i="2"/>
  <c r="K9" i="2"/>
  <c r="K10" i="2"/>
  <c r="K11" i="2"/>
  <c r="K12" i="2"/>
  <c r="K13" i="2"/>
  <c r="K2" i="2"/>
  <c r="I3" i="2"/>
  <c r="I4" i="2"/>
  <c r="I5" i="2"/>
  <c r="I6" i="2"/>
  <c r="I7" i="2"/>
  <c r="I8" i="2"/>
  <c r="I9" i="2"/>
  <c r="I10" i="2"/>
  <c r="I11" i="2"/>
  <c r="I12" i="2"/>
  <c r="I13" i="2"/>
  <c r="I2" i="2"/>
  <c r="G3" i="2"/>
  <c r="G4" i="2"/>
  <c r="G5" i="2"/>
  <c r="G6" i="2"/>
  <c r="G7" i="2"/>
  <c r="G8" i="2"/>
  <c r="G9" i="2"/>
  <c r="G10" i="2"/>
  <c r="G11" i="2"/>
  <c r="G12" i="2"/>
  <c r="G13" i="2"/>
  <c r="G2" i="2"/>
  <c r="E3" i="2"/>
  <c r="E4" i="2"/>
  <c r="E5" i="2"/>
  <c r="E6" i="2"/>
  <c r="E7" i="2"/>
  <c r="E8" i="2"/>
  <c r="E9" i="2"/>
  <c r="E10" i="2"/>
  <c r="E11" i="2"/>
  <c r="E12" i="2"/>
  <c r="E13" i="2"/>
  <c r="E2" i="2"/>
  <c r="J3" i="2"/>
  <c r="J4" i="2"/>
  <c r="J5" i="2"/>
  <c r="J6" i="2"/>
  <c r="J7" i="2"/>
  <c r="J8" i="2"/>
  <c r="J9" i="2"/>
  <c r="J10" i="2"/>
  <c r="J11" i="2"/>
  <c r="J12" i="2"/>
  <c r="J13" i="2"/>
  <c r="J2" i="2"/>
  <c r="H3" i="2"/>
  <c r="H4" i="2"/>
  <c r="H5" i="2"/>
  <c r="H6" i="2"/>
  <c r="H7" i="2"/>
  <c r="H8" i="2"/>
  <c r="H9" i="2"/>
  <c r="H10" i="2"/>
  <c r="H11" i="2"/>
  <c r="H12" i="2"/>
  <c r="H13" i="2"/>
  <c r="H2" i="2"/>
  <c r="F3" i="2"/>
  <c r="F4" i="2"/>
  <c r="F5" i="2"/>
  <c r="F6" i="2"/>
  <c r="F7" i="2"/>
  <c r="F8" i="2"/>
  <c r="F9" i="2"/>
  <c r="F10" i="2"/>
  <c r="F11" i="2"/>
  <c r="F12" i="2"/>
  <c r="F13" i="2"/>
  <c r="F2" i="2"/>
  <c r="D3" i="2"/>
  <c r="D4" i="2"/>
  <c r="D5" i="2"/>
  <c r="D6" i="2"/>
  <c r="D7" i="2"/>
  <c r="D8" i="2"/>
  <c r="D9" i="2"/>
  <c r="D10" i="2"/>
  <c r="D11" i="2"/>
  <c r="D12" i="2"/>
  <c r="D13" i="2"/>
  <c r="D2" i="2"/>
  <c r="C3" i="2"/>
  <c r="C4" i="2"/>
  <c r="C5" i="2"/>
  <c r="C6" i="2"/>
  <c r="C7" i="2"/>
  <c r="C8" i="2"/>
  <c r="C9" i="2"/>
  <c r="C10" i="2"/>
  <c r="C11" i="2"/>
  <c r="C12" i="2"/>
  <c r="C13" i="2"/>
  <c r="C2" i="2"/>
  <c r="B2" i="2"/>
  <c r="B3" i="2"/>
  <c r="B4" i="2"/>
  <c r="B5" i="2"/>
  <c r="B6" i="2"/>
  <c r="B7" i="2"/>
  <c r="B8" i="2"/>
  <c r="B9" i="2"/>
  <c r="B10" i="2"/>
  <c r="B11" i="2"/>
  <c r="B12" i="2"/>
  <c r="B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<sst xmlns="http://schemas.openxmlformats.org/spreadsheetml/2006/main" count="97" uniqueCount="29">
  <si>
    <t>Mes</t>
  </si>
  <si>
    <t>SKU-A101</t>
  </si>
  <si>
    <t>SKU-B202</t>
  </si>
  <si>
    <t>SKU-C303</t>
  </si>
  <si>
    <t>SKU-D404</t>
  </si>
  <si>
    <t>SKU-E505</t>
  </si>
  <si>
    <t>A101_Real</t>
  </si>
  <si>
    <t>A101_Pron</t>
  </si>
  <si>
    <t>B202_Real</t>
  </si>
  <si>
    <t>B202_Pron</t>
  </si>
  <si>
    <t>C303_Real</t>
  </si>
  <si>
    <t>C303_Pron</t>
  </si>
  <si>
    <t>D404_Real</t>
  </si>
  <si>
    <t>D404_Pron</t>
  </si>
  <si>
    <t>E505_Real</t>
  </si>
  <si>
    <t>E505_Pron</t>
  </si>
  <si>
    <t>A101_Tend</t>
  </si>
  <si>
    <t>B202_Tend</t>
  </si>
  <si>
    <t>C303_Tend</t>
  </si>
  <si>
    <t>D404_Tend</t>
  </si>
  <si>
    <t>E505_Tend</t>
  </si>
  <si>
    <t>SKU</t>
  </si>
  <si>
    <t>Real</t>
  </si>
  <si>
    <t>Pronóstico</t>
  </si>
  <si>
    <t>Error_Abs</t>
  </si>
  <si>
    <t>Error_Pct_Abs</t>
  </si>
  <si>
    <t>MAE</t>
  </si>
  <si>
    <t>MAPE</t>
  </si>
  <si>
    <t>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</si>
</sst>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2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BA2CBF-342B-48D4-87E8-4EB5E8607F3B}" name="TblDemanda" displayName="TblDemanda" ref="A1:F13" totalsRowShown="0">
  <autoFilter ref="A1:F13" xr:uid="{D1BA2CBF-342B-48D4-87E8-4EB5E8607F3B}"/>
  <tableColumns count="6">
    <tableColumn id="1" xr3:uid="{658F4F2B-8202-469D-B0B1-B34215D8CC7B}" name="Mes"/>
    <tableColumn id="2" xr3:uid="{238E39A9-2ECB-4AD5-8CF8-CA56152B9AF3}" name="SKU-A101"/>
    <tableColumn id="3" xr3:uid="{15AFA9B8-C3CF-425F-9019-A9C5B5AEC7D4}" name="SKU-B202"/>
    <tableColumn id="4" xr3:uid="{D59C0051-B50A-4912-BF9D-377A7AABC2AD}" name="SKU-C303"/>
    <tableColumn id="5" xr3:uid="{9A82F7DE-3C2C-40C3-99E2-CA524602FBED}" name="SKU-D404"/>
    <tableColumn id="6" xr3:uid="{EA4F0071-712C-45CE-8BB6-A390FECD7DC3}" name="SKU-E50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17E8-AB30-4151-9DF4-48B759949A47}">
  <dimension ref="A1:F13"/>
  <sheetViews>
    <sheetView workbookViewId="0">
      <selection activeCell="B1" sqref="B1:F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>
        <v>520</v>
      </c>
      <c r="C2">
        <v>180</v>
      </c>
      <c r="D2">
        <v>410</v>
      </c>
      <c r="E2">
        <v>1000</v>
      </c>
      <c r="F2">
        <v>310</v>
      </c>
    </row>
    <row r="3" spans="1:6" x14ac:dyDescent="0.45">
      <c r="A3">
        <v>2</v>
      </c>
      <c r="B3">
        <v>535</v>
      </c>
      <c r="C3">
        <v>175</v>
      </c>
      <c r="D3">
        <v>450</v>
      </c>
      <c r="E3">
        <v>1020</v>
      </c>
      <c r="F3">
        <v>325</v>
      </c>
    </row>
    <row r="4" spans="1:6" x14ac:dyDescent="0.45">
      <c r="A4">
        <v>3</v>
      </c>
      <c r="B4">
        <v>548</v>
      </c>
      <c r="C4">
        <v>190</v>
      </c>
      <c r="D4">
        <v>380</v>
      </c>
      <c r="E4">
        <v>1045</v>
      </c>
      <c r="F4">
        <v>340</v>
      </c>
    </row>
    <row r="5" spans="1:6" x14ac:dyDescent="0.45">
      <c r="A5">
        <v>4</v>
      </c>
      <c r="B5">
        <v>560</v>
      </c>
      <c r="C5">
        <v>185</v>
      </c>
      <c r="D5">
        <v>500</v>
      </c>
      <c r="E5">
        <v>1060</v>
      </c>
      <c r="F5">
        <v>332</v>
      </c>
    </row>
    <row r="6" spans="1:6" x14ac:dyDescent="0.45">
      <c r="A6">
        <v>5</v>
      </c>
      <c r="B6">
        <v>575</v>
      </c>
      <c r="C6">
        <v>178</v>
      </c>
      <c r="D6">
        <v>420</v>
      </c>
      <c r="E6">
        <v>1080</v>
      </c>
      <c r="F6">
        <v>348</v>
      </c>
    </row>
    <row r="7" spans="1:6" x14ac:dyDescent="0.45">
      <c r="A7">
        <v>6</v>
      </c>
      <c r="B7">
        <v>590</v>
      </c>
      <c r="C7">
        <v>192</v>
      </c>
      <c r="D7">
        <v>530</v>
      </c>
      <c r="E7">
        <v>1100</v>
      </c>
      <c r="F7">
        <v>360</v>
      </c>
    </row>
    <row r="8" spans="1:6" x14ac:dyDescent="0.45">
      <c r="A8">
        <v>7</v>
      </c>
      <c r="B8">
        <v>605</v>
      </c>
      <c r="C8">
        <v>170</v>
      </c>
      <c r="D8">
        <v>390</v>
      </c>
      <c r="E8">
        <v>1125</v>
      </c>
      <c r="F8">
        <v>355</v>
      </c>
    </row>
    <row r="9" spans="1:6" x14ac:dyDescent="0.45">
      <c r="A9">
        <v>8</v>
      </c>
      <c r="B9">
        <v>618</v>
      </c>
      <c r="C9">
        <v>188</v>
      </c>
      <c r="D9">
        <v>560</v>
      </c>
      <c r="E9">
        <v>1140</v>
      </c>
      <c r="F9">
        <v>370</v>
      </c>
    </row>
    <row r="10" spans="1:6" x14ac:dyDescent="0.45">
      <c r="A10">
        <v>9</v>
      </c>
      <c r="B10">
        <v>632</v>
      </c>
      <c r="C10">
        <v>182</v>
      </c>
      <c r="D10">
        <v>430</v>
      </c>
      <c r="E10">
        <v>1160</v>
      </c>
      <c r="F10">
        <v>365</v>
      </c>
    </row>
    <row r="11" spans="1:6" x14ac:dyDescent="0.45">
      <c r="A11">
        <v>10</v>
      </c>
      <c r="B11">
        <v>645</v>
      </c>
      <c r="C11">
        <v>195</v>
      </c>
      <c r="D11">
        <v>580</v>
      </c>
      <c r="E11">
        <v>1180</v>
      </c>
      <c r="F11">
        <v>380</v>
      </c>
    </row>
    <row r="12" spans="1:6" x14ac:dyDescent="0.45">
      <c r="A12">
        <v>11</v>
      </c>
      <c r="B12">
        <v>660</v>
      </c>
      <c r="C12">
        <v>172</v>
      </c>
      <c r="D12">
        <v>410</v>
      </c>
      <c r="E12">
        <v>1200</v>
      </c>
      <c r="F12">
        <v>375</v>
      </c>
    </row>
    <row r="13" spans="1:6" x14ac:dyDescent="0.45">
      <c r="A13">
        <v>12</v>
      </c>
      <c r="B13">
        <v>675</v>
      </c>
      <c r="C13">
        <v>190</v>
      </c>
      <c r="D13">
        <v>600</v>
      </c>
      <c r="E13">
        <v>1220</v>
      </c>
      <c r="F13">
        <v>390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0D86-8913-4661-9C04-E71EC302E44D}">
  <dimension ref="A1:P61"/>
  <sheetViews>
    <sheetView topLeftCell="A35" workbookViewId="0">
      <selection activeCell="C2" sqref="C2:C61"/>
    </sheetView>
  </sheetViews>
  <sheetFormatPr baseColWidth="10" defaultRowHeight="14.25" x14ac:dyDescent="0.45"/>
  <sheetData>
    <row r="1" spans="1:16" x14ac:dyDescent="0.4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45">
      <c r="A2">
        <v>1</v>
      </c>
      <c r="B2">
        <f>TblDemanda[[#This Row],[SKU-A101]]</f>
        <v>520</v>
      </c>
      <c r="C2">
        <f>_xlfn.FORECAST.LINEAR(A2,TblDemanda[SKU-A101],TblDemanda[Mes])</f>
        <v>519.74358974358972</v>
      </c>
      <c r="D2">
        <f>TblDemanda[[#This Row],[SKU-B202]]</f>
        <v>180</v>
      </c>
      <c r="E2">
        <f>_xlfn.FORECAST.LINEAR(A2,TblDemanda[SKU-B202],TblDemanda[Mes])</f>
        <v>180.94871794871796</v>
      </c>
      <c r="F2">
        <f>TblDemanda[[#This Row],[SKU-C303]]</f>
        <v>410</v>
      </c>
      <c r="G2">
        <f>_xlfn.FORECAST.LINEAR(A2,TblDemanda[SKU-C303],TblDemanda[Mes])</f>
        <v>412.82051282051282</v>
      </c>
      <c r="H2">
        <f>TblDemanda[[#This Row],[SKU-D404]]</f>
        <v>1000</v>
      </c>
      <c r="I2">
        <f>_xlfn.FORECAST.LINEAR(A2,TblDemanda[SKU-D404],TblDemanda[Mes])</f>
        <v>1001.4102564102562</v>
      </c>
      <c r="J2">
        <f>TblDemanda[[#This Row],[SKU-E505]]</f>
        <v>310</v>
      </c>
      <c r="K2">
        <f>_xlfn.FORECAST.LINEAR(A2,TblDemanda[SKU-E505],TblDemanda[Mes])</f>
        <v>318.85897435897436</v>
      </c>
      <c r="L2" cm="1">
        <f t="array" ref="L2:L13">TREND(Demanda!$B$2:$B$13, Demanda!$A$2:$A$13, $A$2:$A$13)</f>
        <v>519.74358974358972</v>
      </c>
      <c r="M2" cm="1">
        <f t="array" ref="M2:M13">TREND(Demanda!$C$2:$C$13, Demanda!$A$2:$A$13, $A$2:$A$13)</f>
        <v>180.94871794871796</v>
      </c>
      <c r="N2" cm="1">
        <f t="array" ref="N2:N13">TREND(Demanda!$D$2:$D$13, Demanda!$A$2:$A$13, $A$2:$A$13)</f>
        <v>412.82051282051282</v>
      </c>
      <c r="O2" cm="1">
        <f t="array" ref="O2:O13">TREND(Demanda!$E$2:$E$13, Demanda!$A$2:$A$13, $A$2:$A$13)</f>
        <v>1001.4102564102564</v>
      </c>
      <c r="P2" cm="1">
        <f t="array" ref="P2:P13">TREND(Demanda!$F$2:$F$13, Demanda!$A$2:$A$13, $A$2:$A$13)</f>
        <v>318.85897435897436</v>
      </c>
    </row>
    <row r="3" spans="1:16" x14ac:dyDescent="0.45">
      <c r="A3">
        <v>2</v>
      </c>
      <c r="B3">
        <f>TblDemanda[[#This Row],[SKU-A101]]</f>
        <v>535</v>
      </c>
      <c r="C3">
        <f>_xlfn.FORECAST.LINEAR(A3,TblDemanda[SKU-A101],TblDemanda[Mes])</f>
        <v>533.7750582750582</v>
      </c>
      <c r="D3">
        <f>TblDemanda[[#This Row],[SKU-B202]]</f>
        <v>175</v>
      </c>
      <c r="E3">
        <f>_xlfn.FORECAST.LINEAR(A3,TblDemanda[SKU-B202],TblDemanda[Mes])</f>
        <v>181.33682983682985</v>
      </c>
      <c r="F3">
        <f>TblDemanda[[#This Row],[SKU-C303]]</f>
        <v>450</v>
      </c>
      <c r="G3">
        <f>_xlfn.FORECAST.LINEAR(A3,TblDemanda[SKU-C303],TblDemanda[Mes])</f>
        <v>423.51981351981351</v>
      </c>
      <c r="H3">
        <f>TblDemanda[[#This Row],[SKU-D404]]</f>
        <v>1020</v>
      </c>
      <c r="I3">
        <f>_xlfn.FORECAST.LINEAR(A3,TblDemanda[SKU-D404],TblDemanda[Mes])</f>
        <v>1021.3053613053612</v>
      </c>
      <c r="J3">
        <f>TblDemanda[[#This Row],[SKU-E505]]</f>
        <v>325</v>
      </c>
      <c r="K3">
        <f>_xlfn.FORECAST.LINEAR(A3,TblDemanda[SKU-E505],TblDemanda[Mes])</f>
        <v>325.27855477855479</v>
      </c>
      <c r="L3">
        <v>533.7750582750582</v>
      </c>
      <c r="M3">
        <v>181.33682983682985</v>
      </c>
      <c r="N3">
        <v>423.51981351981351</v>
      </c>
      <c r="O3">
        <v>1021.3053613053613</v>
      </c>
      <c r="P3">
        <v>325.27855477855479</v>
      </c>
    </row>
    <row r="4" spans="1:16" x14ac:dyDescent="0.45">
      <c r="A4">
        <v>3</v>
      </c>
      <c r="B4">
        <f>TblDemanda[[#This Row],[SKU-A101]]</f>
        <v>548</v>
      </c>
      <c r="C4">
        <f>_xlfn.FORECAST.LINEAR(A4,TblDemanda[SKU-A101],TblDemanda[Mes])</f>
        <v>547.80652680652679</v>
      </c>
      <c r="D4">
        <f>TblDemanda[[#This Row],[SKU-B202]]</f>
        <v>190</v>
      </c>
      <c r="E4">
        <f>_xlfn.FORECAST.LINEAR(A4,TblDemanda[SKU-B202],TblDemanda[Mes])</f>
        <v>181.72494172494171</v>
      </c>
      <c r="F4">
        <f>TblDemanda[[#This Row],[SKU-C303]]</f>
        <v>380</v>
      </c>
      <c r="G4">
        <f>_xlfn.FORECAST.LINEAR(A4,TblDemanda[SKU-C303],TblDemanda[Mes])</f>
        <v>434.2191142191142</v>
      </c>
      <c r="H4">
        <f>TblDemanda[[#This Row],[SKU-D404]]</f>
        <v>1045</v>
      </c>
      <c r="I4">
        <f>_xlfn.FORECAST.LINEAR(A4,TblDemanda[SKU-D404],TblDemanda[Mes])</f>
        <v>1041.2004662004661</v>
      </c>
      <c r="J4">
        <f>TblDemanda[[#This Row],[SKU-E505]]</f>
        <v>340</v>
      </c>
      <c r="K4">
        <f>_xlfn.FORECAST.LINEAR(A4,TblDemanda[SKU-E505],TblDemanda[Mes])</f>
        <v>331.69813519813522</v>
      </c>
      <c r="L4">
        <v>547.80652680652679</v>
      </c>
      <c r="M4">
        <v>181.72494172494171</v>
      </c>
      <c r="N4">
        <v>434.2191142191142</v>
      </c>
      <c r="O4">
        <v>1041.2004662004663</v>
      </c>
      <c r="P4">
        <v>331.69813519813522</v>
      </c>
    </row>
    <row r="5" spans="1:16" x14ac:dyDescent="0.45">
      <c r="A5">
        <v>4</v>
      </c>
      <c r="B5">
        <f>TblDemanda[[#This Row],[SKU-A101]]</f>
        <v>560</v>
      </c>
      <c r="C5">
        <f>_xlfn.FORECAST.LINEAR(A5,TblDemanda[SKU-A101],TblDemanda[Mes])</f>
        <v>561.83799533799527</v>
      </c>
      <c r="D5">
        <f>TblDemanda[[#This Row],[SKU-B202]]</f>
        <v>185</v>
      </c>
      <c r="E5">
        <f>_xlfn.FORECAST.LINEAR(A5,TblDemanda[SKU-B202],TblDemanda[Mes])</f>
        <v>182.11305361305361</v>
      </c>
      <c r="F5">
        <f>TblDemanda[[#This Row],[SKU-C303]]</f>
        <v>500</v>
      </c>
      <c r="G5">
        <f>_xlfn.FORECAST.LINEAR(A5,TblDemanda[SKU-C303],TblDemanda[Mes])</f>
        <v>444.9184149184149</v>
      </c>
      <c r="H5">
        <f>TblDemanda[[#This Row],[SKU-D404]]</f>
        <v>1060</v>
      </c>
      <c r="I5">
        <f>_xlfn.FORECAST.LINEAR(A5,TblDemanda[SKU-D404],TblDemanda[Mes])</f>
        <v>1061.0955710955709</v>
      </c>
      <c r="J5">
        <f>TblDemanda[[#This Row],[SKU-E505]]</f>
        <v>332</v>
      </c>
      <c r="K5">
        <f>_xlfn.FORECAST.LINEAR(A5,TblDemanda[SKU-E505],TblDemanda[Mes])</f>
        <v>338.11771561771559</v>
      </c>
      <c r="L5">
        <v>561.83799533799527</v>
      </c>
      <c r="M5">
        <v>182.11305361305361</v>
      </c>
      <c r="N5">
        <v>444.9184149184149</v>
      </c>
      <c r="O5">
        <v>1061.0955710955711</v>
      </c>
      <c r="P5">
        <v>338.11771561771559</v>
      </c>
    </row>
    <row r="6" spans="1:16" x14ac:dyDescent="0.45">
      <c r="A6">
        <v>5</v>
      </c>
      <c r="B6">
        <f>TblDemanda[[#This Row],[SKU-A101]]</f>
        <v>575</v>
      </c>
      <c r="C6">
        <f>_xlfn.FORECAST.LINEAR(A6,TblDemanda[SKU-A101],TblDemanda[Mes])</f>
        <v>575.86946386946386</v>
      </c>
      <c r="D6">
        <f>TblDemanda[[#This Row],[SKU-B202]]</f>
        <v>178</v>
      </c>
      <c r="E6">
        <f>_xlfn.FORECAST.LINEAR(A6,TblDemanda[SKU-B202],TblDemanda[Mes])</f>
        <v>182.5011655011655</v>
      </c>
      <c r="F6">
        <f>TblDemanda[[#This Row],[SKU-C303]]</f>
        <v>420</v>
      </c>
      <c r="G6">
        <f>_xlfn.FORECAST.LINEAR(A6,TblDemanda[SKU-C303],TblDemanda[Mes])</f>
        <v>455.61771561771565</v>
      </c>
      <c r="H6">
        <f>TblDemanda[[#This Row],[SKU-D404]]</f>
        <v>1080</v>
      </c>
      <c r="I6">
        <f>_xlfn.FORECAST.LINEAR(A6,TblDemanda[SKU-D404],TblDemanda[Mes])</f>
        <v>1080.9906759906758</v>
      </c>
      <c r="J6">
        <f>TblDemanda[[#This Row],[SKU-E505]]</f>
        <v>348</v>
      </c>
      <c r="K6">
        <f>_xlfn.FORECAST.LINEAR(A6,TblDemanda[SKU-E505],TblDemanda[Mes])</f>
        <v>344.53729603729602</v>
      </c>
      <c r="L6">
        <v>575.86946386946386</v>
      </c>
      <c r="M6">
        <v>182.5011655011655</v>
      </c>
      <c r="N6">
        <v>455.61771561771559</v>
      </c>
      <c r="O6">
        <v>1080.990675990676</v>
      </c>
      <c r="P6">
        <v>344.53729603729602</v>
      </c>
    </row>
    <row r="7" spans="1:16" x14ac:dyDescent="0.45">
      <c r="A7">
        <v>6</v>
      </c>
      <c r="B7">
        <f>TblDemanda[[#This Row],[SKU-A101]]</f>
        <v>590</v>
      </c>
      <c r="C7">
        <f>_xlfn.FORECAST.LINEAR(A7,TblDemanda[SKU-A101],TblDemanda[Mes])</f>
        <v>589.90093240093233</v>
      </c>
      <c r="D7">
        <f>TblDemanda[[#This Row],[SKU-B202]]</f>
        <v>192</v>
      </c>
      <c r="E7">
        <f>_xlfn.FORECAST.LINEAR(A7,TblDemanda[SKU-B202],TblDemanda[Mes])</f>
        <v>182.8892773892774</v>
      </c>
      <c r="F7">
        <f>TblDemanda[[#This Row],[SKU-C303]]</f>
        <v>530</v>
      </c>
      <c r="G7">
        <f>_xlfn.FORECAST.LINEAR(A7,TblDemanda[SKU-C303],TblDemanda[Mes])</f>
        <v>466.31701631701634</v>
      </c>
      <c r="H7">
        <f>TblDemanda[[#This Row],[SKU-D404]]</f>
        <v>1100</v>
      </c>
      <c r="I7">
        <f>_xlfn.FORECAST.LINEAR(A7,TblDemanda[SKU-D404],TblDemanda[Mes])</f>
        <v>1100.8857808857808</v>
      </c>
      <c r="J7">
        <f>TblDemanda[[#This Row],[SKU-E505]]</f>
        <v>360</v>
      </c>
      <c r="K7">
        <f>_xlfn.FORECAST.LINEAR(A7,TblDemanda[SKU-E505],TblDemanda[Mes])</f>
        <v>350.95687645687644</v>
      </c>
      <c r="L7">
        <v>589.90093240093233</v>
      </c>
      <c r="M7">
        <v>182.8892773892774</v>
      </c>
      <c r="N7">
        <v>466.31701631701628</v>
      </c>
      <c r="O7">
        <v>1100.8857808857808</v>
      </c>
      <c r="P7">
        <v>350.95687645687644</v>
      </c>
    </row>
    <row r="8" spans="1:16" x14ac:dyDescent="0.45">
      <c r="A8">
        <v>7</v>
      </c>
      <c r="B8">
        <f>TblDemanda[[#This Row],[SKU-A101]]</f>
        <v>605</v>
      </c>
      <c r="C8">
        <f>_xlfn.FORECAST.LINEAR(A8,TblDemanda[SKU-A101],TblDemanda[Mes])</f>
        <v>603.93240093240092</v>
      </c>
      <c r="D8">
        <f>TblDemanda[[#This Row],[SKU-B202]]</f>
        <v>170</v>
      </c>
      <c r="E8">
        <f>_xlfn.FORECAST.LINEAR(A8,TblDemanda[SKU-B202],TblDemanda[Mes])</f>
        <v>183.27738927738929</v>
      </c>
      <c r="F8">
        <f>TblDemanda[[#This Row],[SKU-C303]]</f>
        <v>390</v>
      </c>
      <c r="G8">
        <f>_xlfn.FORECAST.LINEAR(A8,TblDemanda[SKU-C303],TblDemanda[Mes])</f>
        <v>477.01631701631703</v>
      </c>
      <c r="H8">
        <f>TblDemanda[[#This Row],[SKU-D404]]</f>
        <v>1125</v>
      </c>
      <c r="I8">
        <f>_xlfn.FORECAST.LINEAR(A8,TblDemanda[SKU-D404],TblDemanda[Mes])</f>
        <v>1120.7808857808857</v>
      </c>
      <c r="J8">
        <f>TblDemanda[[#This Row],[SKU-E505]]</f>
        <v>355</v>
      </c>
      <c r="K8">
        <f>_xlfn.FORECAST.LINEAR(A8,TblDemanda[SKU-E505],TblDemanda[Mes])</f>
        <v>357.37645687645687</v>
      </c>
      <c r="L8">
        <v>603.93240093240092</v>
      </c>
      <c r="M8">
        <v>183.27738927738929</v>
      </c>
      <c r="N8">
        <v>477.01631701631703</v>
      </c>
      <c r="O8">
        <v>1120.7808857808857</v>
      </c>
      <c r="P8">
        <v>357.37645687645687</v>
      </c>
    </row>
    <row r="9" spans="1:16" x14ac:dyDescent="0.45">
      <c r="A9">
        <v>8</v>
      </c>
      <c r="B9">
        <f>TblDemanda[[#This Row],[SKU-A101]]</f>
        <v>618</v>
      </c>
      <c r="C9">
        <f>_xlfn.FORECAST.LINEAR(A9,TblDemanda[SKU-A101],TblDemanda[Mes])</f>
        <v>617.9638694638694</v>
      </c>
      <c r="D9">
        <f>TblDemanda[[#This Row],[SKU-B202]]</f>
        <v>188</v>
      </c>
      <c r="E9">
        <f>_xlfn.FORECAST.LINEAR(A9,TblDemanda[SKU-B202],TblDemanda[Mes])</f>
        <v>183.66550116550115</v>
      </c>
      <c r="F9">
        <f>TblDemanda[[#This Row],[SKU-C303]]</f>
        <v>560</v>
      </c>
      <c r="G9">
        <f>_xlfn.FORECAST.LINEAR(A9,TblDemanda[SKU-C303],TblDemanda[Mes])</f>
        <v>487.71561771561773</v>
      </c>
      <c r="H9">
        <f>TblDemanda[[#This Row],[SKU-D404]]</f>
        <v>1140</v>
      </c>
      <c r="I9">
        <f>_xlfn.FORECAST.LINEAR(A9,TblDemanda[SKU-D404],TblDemanda[Mes])</f>
        <v>1140.6759906759905</v>
      </c>
      <c r="J9">
        <f>TblDemanda[[#This Row],[SKU-E505]]</f>
        <v>370</v>
      </c>
      <c r="K9">
        <f>_xlfn.FORECAST.LINEAR(A9,TblDemanda[SKU-E505],TblDemanda[Mes])</f>
        <v>363.7960372960373</v>
      </c>
      <c r="L9">
        <v>617.9638694638694</v>
      </c>
      <c r="M9">
        <v>183.66550116550115</v>
      </c>
      <c r="N9">
        <v>487.71561771561773</v>
      </c>
      <c r="O9">
        <v>1140.6759906759908</v>
      </c>
      <c r="P9">
        <v>363.7960372960373</v>
      </c>
    </row>
    <row r="10" spans="1:16" x14ac:dyDescent="0.45">
      <c r="A10">
        <v>9</v>
      </c>
      <c r="B10">
        <f>TblDemanda[[#This Row],[SKU-A101]]</f>
        <v>632</v>
      </c>
      <c r="C10">
        <f>_xlfn.FORECAST.LINEAR(A10,TblDemanda[SKU-A101],TblDemanda[Mes])</f>
        <v>631.99533799533799</v>
      </c>
      <c r="D10">
        <f>TblDemanda[[#This Row],[SKU-B202]]</f>
        <v>182</v>
      </c>
      <c r="E10">
        <f>_xlfn.FORECAST.LINEAR(A10,TblDemanda[SKU-B202],TblDemanda[Mes])</f>
        <v>184.05361305361305</v>
      </c>
      <c r="F10">
        <f>TblDemanda[[#This Row],[SKU-C303]]</f>
        <v>430</v>
      </c>
      <c r="G10">
        <f>_xlfn.FORECAST.LINEAR(A10,TblDemanda[SKU-C303],TblDemanda[Mes])</f>
        <v>498.41491841491842</v>
      </c>
      <c r="H10">
        <f>TblDemanda[[#This Row],[SKU-D404]]</f>
        <v>1160</v>
      </c>
      <c r="I10">
        <f>_xlfn.FORECAST.LINEAR(A10,TblDemanda[SKU-D404],TblDemanda[Mes])</f>
        <v>1160.5710955710954</v>
      </c>
      <c r="J10">
        <f>TblDemanda[[#This Row],[SKU-E505]]</f>
        <v>365</v>
      </c>
      <c r="K10">
        <f>_xlfn.FORECAST.LINEAR(A10,TblDemanda[SKU-E505],TblDemanda[Mes])</f>
        <v>370.21561771561773</v>
      </c>
      <c r="L10">
        <v>631.99533799533799</v>
      </c>
      <c r="M10">
        <v>184.05361305361305</v>
      </c>
      <c r="N10">
        <v>498.41491841491842</v>
      </c>
      <c r="O10">
        <v>1160.5710955710956</v>
      </c>
      <c r="P10">
        <v>370.21561771561773</v>
      </c>
    </row>
    <row r="11" spans="1:16" x14ac:dyDescent="0.45">
      <c r="A11">
        <v>10</v>
      </c>
      <c r="B11">
        <f>TblDemanda[[#This Row],[SKU-A101]]</f>
        <v>645</v>
      </c>
      <c r="C11">
        <f>_xlfn.FORECAST.LINEAR(A11,TblDemanda[SKU-A101],TblDemanda[Mes])</f>
        <v>646.02680652680647</v>
      </c>
      <c r="D11">
        <f>TblDemanda[[#This Row],[SKU-B202]]</f>
        <v>195</v>
      </c>
      <c r="E11">
        <f>_xlfn.FORECAST.LINEAR(A11,TblDemanda[SKU-B202],TblDemanda[Mes])</f>
        <v>184.44172494172494</v>
      </c>
      <c r="F11">
        <f>TblDemanda[[#This Row],[SKU-C303]]</f>
        <v>580</v>
      </c>
      <c r="G11">
        <f>_xlfn.FORECAST.LINEAR(A11,TblDemanda[SKU-C303],TblDemanda[Mes])</f>
        <v>509.11421911421911</v>
      </c>
      <c r="H11">
        <f>TblDemanda[[#This Row],[SKU-D404]]</f>
        <v>1180</v>
      </c>
      <c r="I11">
        <f>_xlfn.FORECAST.LINEAR(A11,TblDemanda[SKU-D404],TblDemanda[Mes])</f>
        <v>1180.4662004662005</v>
      </c>
      <c r="J11">
        <f>TblDemanda[[#This Row],[SKU-E505]]</f>
        <v>380</v>
      </c>
      <c r="K11">
        <f>_xlfn.FORECAST.LINEAR(A11,TblDemanda[SKU-E505],TblDemanda[Mes])</f>
        <v>376.63519813519815</v>
      </c>
      <c r="L11">
        <v>646.02680652680647</v>
      </c>
      <c r="M11">
        <v>184.44172494172494</v>
      </c>
      <c r="N11">
        <v>509.11421911421911</v>
      </c>
      <c r="O11">
        <v>1180.4662004662005</v>
      </c>
      <c r="P11">
        <v>376.63519813519815</v>
      </c>
    </row>
    <row r="12" spans="1:16" x14ac:dyDescent="0.45">
      <c r="A12">
        <v>11</v>
      </c>
      <c r="B12">
        <f>TblDemanda[[#This Row],[SKU-A101]]</f>
        <v>660</v>
      </c>
      <c r="C12">
        <f>_xlfn.FORECAST.LINEAR(A12,TblDemanda[SKU-A101],TblDemanda[Mes])</f>
        <v>660.05827505827506</v>
      </c>
      <c r="D12">
        <f>TblDemanda[[#This Row],[SKU-B202]]</f>
        <v>172</v>
      </c>
      <c r="E12">
        <f>_xlfn.FORECAST.LINEAR(A12,TblDemanda[SKU-B202],TblDemanda[Mes])</f>
        <v>184.82983682983684</v>
      </c>
      <c r="F12">
        <f>TblDemanda[[#This Row],[SKU-C303]]</f>
        <v>410</v>
      </c>
      <c r="G12">
        <f>_xlfn.FORECAST.LINEAR(A12,TblDemanda[SKU-C303],TblDemanda[Mes])</f>
        <v>519.81351981351986</v>
      </c>
      <c r="H12">
        <f>TblDemanda[[#This Row],[SKU-D404]]</f>
        <v>1200</v>
      </c>
      <c r="I12">
        <f>_xlfn.FORECAST.LINEAR(A12,TblDemanda[SKU-D404],TblDemanda[Mes])</f>
        <v>1200.3613053613053</v>
      </c>
      <c r="J12">
        <f>TblDemanda[[#This Row],[SKU-E505]]</f>
        <v>375</v>
      </c>
      <c r="K12">
        <f>_xlfn.FORECAST.LINEAR(A12,TblDemanda[SKU-E505],TblDemanda[Mes])</f>
        <v>383.05477855477852</v>
      </c>
      <c r="L12">
        <v>660.05827505827506</v>
      </c>
      <c r="M12">
        <v>184.82983682983684</v>
      </c>
      <c r="N12">
        <v>519.81351981351986</v>
      </c>
      <c r="O12">
        <v>1200.3613053613053</v>
      </c>
      <c r="P12">
        <v>383.05477855477852</v>
      </c>
    </row>
    <row r="13" spans="1:16" x14ac:dyDescent="0.45">
      <c r="A13">
        <v>12</v>
      </c>
      <c r="B13">
        <f>TblDemanda[[#This Row],[SKU-A101]]</f>
        <v>675</v>
      </c>
      <c r="C13">
        <f>_xlfn.FORECAST.LINEAR(A13,TblDemanda[SKU-A101],TblDemanda[Mes])</f>
        <v>674.08974358974353</v>
      </c>
      <c r="D13">
        <f>TblDemanda[[#This Row],[SKU-B202]]</f>
        <v>190</v>
      </c>
      <c r="E13">
        <f>_xlfn.FORECAST.LINEAR(A13,TblDemanda[SKU-B202],TblDemanda[Mes])</f>
        <v>185.21794871794873</v>
      </c>
      <c r="F13">
        <f>TblDemanda[[#This Row],[SKU-C303]]</f>
        <v>600</v>
      </c>
      <c r="G13">
        <f>_xlfn.FORECAST.LINEAR(A13,TblDemanda[SKU-C303],TblDemanda[Mes])</f>
        <v>530.51282051282055</v>
      </c>
      <c r="H13">
        <f>TblDemanda[[#This Row],[SKU-D404]]</f>
        <v>1220</v>
      </c>
      <c r="I13">
        <f>_xlfn.FORECAST.LINEAR(A13,TblDemanda[SKU-D404],TblDemanda[Mes])</f>
        <v>1220.2564102564102</v>
      </c>
      <c r="J13">
        <f>TblDemanda[[#This Row],[SKU-E505]]</f>
        <v>390</v>
      </c>
      <c r="K13">
        <f>_xlfn.FORECAST.LINEAR(A13,TblDemanda[SKU-E505],TblDemanda[Mes])</f>
        <v>389.47435897435895</v>
      </c>
      <c r="L13">
        <v>674.08974358974353</v>
      </c>
      <c r="M13">
        <v>185.21794871794873</v>
      </c>
      <c r="N13">
        <v>530.51282051282055</v>
      </c>
      <c r="O13">
        <v>1220.2564102564102</v>
      </c>
      <c r="P13">
        <v>389.47435897435895</v>
      </c>
    </row>
    <row r="14" spans="1:16" x14ac:dyDescent="0.45">
      <c r="C14">
        <v>180.94871794871796</v>
      </c>
    </row>
    <row r="15" spans="1:16" x14ac:dyDescent="0.45">
      <c r="C15">
        <v>181.33682983682985</v>
      </c>
    </row>
    <row r="16" spans="1:16" x14ac:dyDescent="0.45">
      <c r="C16">
        <v>181.72494172494171</v>
      </c>
    </row>
    <row r="17" spans="3:3" x14ac:dyDescent="0.45">
      <c r="C17">
        <v>182.11305361305361</v>
      </c>
    </row>
    <row r="18" spans="3:3" x14ac:dyDescent="0.45">
      <c r="C18">
        <v>182.5011655011655</v>
      </c>
    </row>
    <row r="19" spans="3:3" x14ac:dyDescent="0.45">
      <c r="C19">
        <v>182.8892773892774</v>
      </c>
    </row>
    <row r="20" spans="3:3" x14ac:dyDescent="0.45">
      <c r="C20">
        <v>183.27738927738929</v>
      </c>
    </row>
    <row r="21" spans="3:3" x14ac:dyDescent="0.45">
      <c r="C21">
        <v>183.66550116550115</v>
      </c>
    </row>
    <row r="22" spans="3:3" x14ac:dyDescent="0.45">
      <c r="C22">
        <v>184.05361305361305</v>
      </c>
    </row>
    <row r="23" spans="3:3" x14ac:dyDescent="0.45">
      <c r="C23">
        <v>184.44172494172494</v>
      </c>
    </row>
    <row r="24" spans="3:3" x14ac:dyDescent="0.45">
      <c r="C24">
        <v>184.82983682983684</v>
      </c>
    </row>
    <row r="25" spans="3:3" x14ac:dyDescent="0.45">
      <c r="C25">
        <v>185.21794871794873</v>
      </c>
    </row>
    <row r="26" spans="3:3" x14ac:dyDescent="0.45">
      <c r="C26">
        <v>412.82051282051282</v>
      </c>
    </row>
    <row r="27" spans="3:3" x14ac:dyDescent="0.45">
      <c r="C27">
        <v>423.51981351981351</v>
      </c>
    </row>
    <row r="28" spans="3:3" x14ac:dyDescent="0.45">
      <c r="C28">
        <v>434.2191142191142</v>
      </c>
    </row>
    <row r="29" spans="3:3" x14ac:dyDescent="0.45">
      <c r="C29">
        <v>444.9184149184149</v>
      </c>
    </row>
    <row r="30" spans="3:3" x14ac:dyDescent="0.45">
      <c r="C30">
        <v>455.61771561771565</v>
      </c>
    </row>
    <row r="31" spans="3:3" x14ac:dyDescent="0.45">
      <c r="C31">
        <v>466.31701631701634</v>
      </c>
    </row>
    <row r="32" spans="3:3" x14ac:dyDescent="0.45">
      <c r="C32">
        <v>477.01631701631703</v>
      </c>
    </row>
    <row r="33" spans="3:3" x14ac:dyDescent="0.45">
      <c r="C33">
        <v>487.71561771561773</v>
      </c>
    </row>
    <row r="34" spans="3:3" x14ac:dyDescent="0.45">
      <c r="C34">
        <v>498.41491841491842</v>
      </c>
    </row>
    <row r="35" spans="3:3" x14ac:dyDescent="0.45">
      <c r="C35">
        <v>509.11421911421911</v>
      </c>
    </row>
    <row r="36" spans="3:3" x14ac:dyDescent="0.45">
      <c r="C36">
        <v>519.81351981351986</v>
      </c>
    </row>
    <row r="37" spans="3:3" x14ac:dyDescent="0.45">
      <c r="C37">
        <v>530.51282051282055</v>
      </c>
    </row>
    <row r="38" spans="3:3" x14ac:dyDescent="0.45">
      <c r="C38">
        <v>1001.4102564102562</v>
      </c>
    </row>
    <row r="39" spans="3:3" x14ac:dyDescent="0.45">
      <c r="C39">
        <v>1021.3053613053612</v>
      </c>
    </row>
    <row r="40" spans="3:3" x14ac:dyDescent="0.45">
      <c r="C40">
        <v>1041.2004662004661</v>
      </c>
    </row>
    <row r="41" spans="3:3" x14ac:dyDescent="0.45">
      <c r="C41">
        <v>1061.0955710955709</v>
      </c>
    </row>
    <row r="42" spans="3:3" x14ac:dyDescent="0.45">
      <c r="C42">
        <v>1080.9906759906758</v>
      </c>
    </row>
    <row r="43" spans="3:3" x14ac:dyDescent="0.45">
      <c r="C43">
        <v>1100.8857808857808</v>
      </c>
    </row>
    <row r="44" spans="3:3" x14ac:dyDescent="0.45">
      <c r="C44">
        <v>1120.7808857808857</v>
      </c>
    </row>
    <row r="45" spans="3:3" x14ac:dyDescent="0.45">
      <c r="C45">
        <v>1140.6759906759905</v>
      </c>
    </row>
    <row r="46" spans="3:3" x14ac:dyDescent="0.45">
      <c r="C46">
        <v>1160.5710955710954</v>
      </c>
    </row>
    <row r="47" spans="3:3" x14ac:dyDescent="0.45">
      <c r="C47">
        <v>1180.4662004662005</v>
      </c>
    </row>
    <row r="48" spans="3:3" x14ac:dyDescent="0.45">
      <c r="C48">
        <v>1200.3613053613053</v>
      </c>
    </row>
    <row r="49" spans="3:3" x14ac:dyDescent="0.45">
      <c r="C49">
        <v>1220.2564102564102</v>
      </c>
    </row>
    <row r="50" spans="3:3" x14ac:dyDescent="0.45">
      <c r="C50">
        <v>318.85897435897436</v>
      </c>
    </row>
    <row r="51" spans="3:3" x14ac:dyDescent="0.45">
      <c r="C51">
        <v>325.27855477855479</v>
      </c>
    </row>
    <row r="52" spans="3:3" x14ac:dyDescent="0.45">
      <c r="C52">
        <v>331.69813519813522</v>
      </c>
    </row>
    <row r="53" spans="3:3" x14ac:dyDescent="0.45">
      <c r="C53">
        <v>338.11771561771559</v>
      </c>
    </row>
    <row r="54" spans="3:3" x14ac:dyDescent="0.45">
      <c r="C54">
        <v>344.53729603729602</v>
      </c>
    </row>
    <row r="55" spans="3:3" x14ac:dyDescent="0.45">
      <c r="C55">
        <v>350.95687645687644</v>
      </c>
    </row>
    <row r="56" spans="3:3" x14ac:dyDescent="0.45">
      <c r="C56">
        <v>357.37645687645687</v>
      </c>
    </row>
    <row r="57" spans="3:3" x14ac:dyDescent="0.45">
      <c r="C57">
        <v>363.7960372960373</v>
      </c>
    </row>
    <row r="58" spans="3:3" x14ac:dyDescent="0.45">
      <c r="C58">
        <v>370.21561771561773</v>
      </c>
    </row>
    <row r="59" spans="3:3" x14ac:dyDescent="0.45">
      <c r="C59">
        <v>376.63519813519815</v>
      </c>
    </row>
    <row r="60" spans="3:3" x14ac:dyDescent="0.45">
      <c r="C60">
        <v>383.05477855477852</v>
      </c>
    </row>
    <row r="61" spans="3:3" x14ac:dyDescent="0.45">
      <c r="C61">
        <v>389.47435897435895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4C30-0727-4E0E-ACEF-2FE2CCAF4CF6}">
  <dimension ref="A1:F61"/>
  <sheetViews>
    <sheetView workbookViewId="0">
      <selection activeCell="E28" sqref="E28"/>
    </sheetView>
  </sheetViews>
  <sheetFormatPr baseColWidth="10" defaultRowHeight="14.25" x14ac:dyDescent="0.45"/>
  <sheetData>
    <row r="1" spans="1:6" x14ac:dyDescent="0.4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45">
      <c r="A2">
        <v>1</v>
      </c>
      <c r="B2" t="s">
        <v>1</v>
      </c>
      <c r="C2">
        <v>520</v>
      </c>
      <c r="D2">
        <v>519.74358974358972</v>
      </c>
      <c r="E2">
        <f>ABS(C2 - D2)</f>
        <v>0.25641025641027682</v>
      </c>
      <c r="F2" s="1">
        <f>ABS(C2 - D2) / C2</f>
        <v>4.9309664694284006E-4</v>
      </c>
    </row>
    <row r="3" spans="1:6" x14ac:dyDescent="0.45">
      <c r="A3">
        <v>2</v>
      </c>
      <c r="B3" t="s">
        <v>1</v>
      </c>
      <c r="C3">
        <v>535</v>
      </c>
      <c r="D3">
        <v>533.7750582750582</v>
      </c>
      <c r="E3">
        <f t="shared" ref="E3:E61" si="0">ABS(C3 - D3)</f>
        <v>1.2249417249418002</v>
      </c>
      <c r="F3" s="1">
        <f t="shared" ref="F3:F61" si="1">ABS(C3 - D3) / C3</f>
        <v>2.2896107008257946E-3</v>
      </c>
    </row>
    <row r="4" spans="1:6" x14ac:dyDescent="0.45">
      <c r="A4">
        <v>3</v>
      </c>
      <c r="B4" t="s">
        <v>1</v>
      </c>
      <c r="C4">
        <v>548</v>
      </c>
      <c r="D4">
        <v>547.80652680652679</v>
      </c>
      <c r="E4">
        <f t="shared" si="0"/>
        <v>0.1934731934732099</v>
      </c>
      <c r="F4" s="1">
        <f t="shared" si="1"/>
        <v>3.5305327276133195E-4</v>
      </c>
    </row>
    <row r="5" spans="1:6" x14ac:dyDescent="0.45">
      <c r="A5">
        <v>4</v>
      </c>
      <c r="B5" t="s">
        <v>1</v>
      </c>
      <c r="C5">
        <v>560</v>
      </c>
      <c r="D5">
        <v>561.83799533799527</v>
      </c>
      <c r="E5">
        <f t="shared" si="0"/>
        <v>1.8379953379952667</v>
      </c>
      <c r="F5" s="1">
        <f t="shared" si="1"/>
        <v>3.282134532134405E-3</v>
      </c>
    </row>
    <row r="6" spans="1:6" x14ac:dyDescent="0.45">
      <c r="A6">
        <v>5</v>
      </c>
      <c r="B6" t="s">
        <v>1</v>
      </c>
      <c r="C6">
        <v>575</v>
      </c>
      <c r="D6">
        <v>575.86946386946386</v>
      </c>
      <c r="E6">
        <f t="shared" si="0"/>
        <v>0.86946386946385701</v>
      </c>
      <c r="F6" s="1">
        <f t="shared" si="1"/>
        <v>1.512111077328447E-3</v>
      </c>
    </row>
    <row r="7" spans="1:6" x14ac:dyDescent="0.45">
      <c r="A7">
        <v>6</v>
      </c>
      <c r="B7" t="s">
        <v>1</v>
      </c>
      <c r="C7">
        <v>590</v>
      </c>
      <c r="D7">
        <v>589.90093240093233</v>
      </c>
      <c r="E7">
        <f t="shared" si="0"/>
        <v>9.9067599067666379E-2</v>
      </c>
      <c r="F7" s="1">
        <f t="shared" si="1"/>
        <v>1.6791118486045149E-4</v>
      </c>
    </row>
    <row r="8" spans="1:6" x14ac:dyDescent="0.45">
      <c r="A8">
        <v>7</v>
      </c>
      <c r="B8" t="s">
        <v>1</v>
      </c>
      <c r="C8">
        <v>605</v>
      </c>
      <c r="D8">
        <v>603.93240093240092</v>
      </c>
      <c r="E8">
        <f t="shared" si="0"/>
        <v>1.0675990675990761</v>
      </c>
      <c r="F8" s="1">
        <f t="shared" si="1"/>
        <v>1.7646265580150019E-3</v>
      </c>
    </row>
    <row r="9" spans="1:6" x14ac:dyDescent="0.45">
      <c r="A9">
        <v>8</v>
      </c>
      <c r="B9" t="s">
        <v>1</v>
      </c>
      <c r="C9">
        <v>618</v>
      </c>
      <c r="D9">
        <v>617.9638694638694</v>
      </c>
      <c r="E9">
        <f t="shared" si="0"/>
        <v>3.6130536130599467E-2</v>
      </c>
      <c r="F9" s="1">
        <f t="shared" si="1"/>
        <v>5.8463650696762889E-5</v>
      </c>
    </row>
    <row r="10" spans="1:6" x14ac:dyDescent="0.45">
      <c r="A10">
        <v>9</v>
      </c>
      <c r="B10" t="s">
        <v>1</v>
      </c>
      <c r="C10">
        <v>632</v>
      </c>
      <c r="D10">
        <v>631.99533799533799</v>
      </c>
      <c r="E10">
        <f t="shared" si="0"/>
        <v>4.6620046620091671E-3</v>
      </c>
      <c r="F10" s="1">
        <f t="shared" si="1"/>
        <v>7.3765896550777958E-6</v>
      </c>
    </row>
    <row r="11" spans="1:6" x14ac:dyDescent="0.45">
      <c r="A11">
        <v>10</v>
      </c>
      <c r="B11" t="s">
        <v>1</v>
      </c>
      <c r="C11">
        <v>645</v>
      </c>
      <c r="D11">
        <v>646.02680652680647</v>
      </c>
      <c r="E11">
        <f t="shared" si="0"/>
        <v>1.0268065268064674</v>
      </c>
      <c r="F11" s="1">
        <f t="shared" si="1"/>
        <v>1.5919481035759186E-3</v>
      </c>
    </row>
    <row r="12" spans="1:6" x14ac:dyDescent="0.45">
      <c r="A12">
        <v>11</v>
      </c>
      <c r="B12" t="s">
        <v>1</v>
      </c>
      <c r="C12">
        <v>660</v>
      </c>
      <c r="D12">
        <v>660.05827505827506</v>
      </c>
      <c r="E12">
        <f t="shared" si="0"/>
        <v>5.8275058275057745E-2</v>
      </c>
      <c r="F12" s="1">
        <f t="shared" si="1"/>
        <v>8.8295542840996581E-5</v>
      </c>
    </row>
    <row r="13" spans="1:6" x14ac:dyDescent="0.45">
      <c r="A13">
        <v>12</v>
      </c>
      <c r="B13" t="s">
        <v>1</v>
      </c>
      <c r="C13">
        <v>675</v>
      </c>
      <c r="D13">
        <v>674.08974358974353</v>
      </c>
      <c r="E13">
        <f t="shared" si="0"/>
        <v>0.91025641025646564</v>
      </c>
      <c r="F13" s="1">
        <f t="shared" si="1"/>
        <v>1.3485280151947639E-3</v>
      </c>
    </row>
    <row r="14" spans="1:6" x14ac:dyDescent="0.45">
      <c r="A14">
        <v>1</v>
      </c>
      <c r="B14" t="s">
        <v>2</v>
      </c>
      <c r="C14">
        <v>180</v>
      </c>
      <c r="D14">
        <v>180.94871794871796</v>
      </c>
      <c r="E14">
        <f t="shared" si="0"/>
        <v>0.94871794871795601</v>
      </c>
      <c r="F14" s="1">
        <f t="shared" si="1"/>
        <v>5.2706552706553115E-3</v>
      </c>
    </row>
    <row r="15" spans="1:6" x14ac:dyDescent="0.45">
      <c r="A15">
        <v>2</v>
      </c>
      <c r="B15" t="s">
        <v>2</v>
      </c>
      <c r="C15">
        <v>175</v>
      </c>
      <c r="D15">
        <v>181.33682983682985</v>
      </c>
      <c r="E15">
        <f t="shared" si="0"/>
        <v>6.3368298368298497</v>
      </c>
      <c r="F15" s="1">
        <f t="shared" si="1"/>
        <v>3.6210456210456286E-2</v>
      </c>
    </row>
    <row r="16" spans="1:6" x14ac:dyDescent="0.45">
      <c r="A16">
        <v>3</v>
      </c>
      <c r="B16" t="s">
        <v>2</v>
      </c>
      <c r="C16">
        <v>190</v>
      </c>
      <c r="D16">
        <v>181.72494172494171</v>
      </c>
      <c r="E16">
        <f t="shared" si="0"/>
        <v>8.2750582750582851</v>
      </c>
      <c r="F16" s="1">
        <f t="shared" si="1"/>
        <v>4.3552938289780449E-2</v>
      </c>
    </row>
    <row r="17" spans="1:6" x14ac:dyDescent="0.45">
      <c r="A17">
        <v>4</v>
      </c>
      <c r="B17" t="s">
        <v>2</v>
      </c>
      <c r="C17">
        <v>185</v>
      </c>
      <c r="D17">
        <v>182.11305361305361</v>
      </c>
      <c r="E17">
        <f t="shared" si="0"/>
        <v>2.8869463869463914</v>
      </c>
      <c r="F17" s="1">
        <f t="shared" si="1"/>
        <v>1.5605115605115629E-2</v>
      </c>
    </row>
    <row r="18" spans="1:6" x14ac:dyDescent="0.45">
      <c r="A18">
        <v>5</v>
      </c>
      <c r="B18" t="s">
        <v>2</v>
      </c>
      <c r="C18">
        <v>178</v>
      </c>
      <c r="D18">
        <v>182.5011655011655</v>
      </c>
      <c r="E18">
        <f t="shared" si="0"/>
        <v>4.5011655011655023</v>
      </c>
      <c r="F18" s="1">
        <f t="shared" si="1"/>
        <v>2.5287446635761247E-2</v>
      </c>
    </row>
    <row r="19" spans="1:6" x14ac:dyDescent="0.45">
      <c r="A19">
        <v>6</v>
      </c>
      <c r="B19" t="s">
        <v>2</v>
      </c>
      <c r="C19">
        <v>192</v>
      </c>
      <c r="D19">
        <v>182.8892773892774</v>
      </c>
      <c r="E19">
        <f t="shared" si="0"/>
        <v>9.110722610722604</v>
      </c>
      <c r="F19" s="1">
        <f t="shared" si="1"/>
        <v>4.7451680264180229E-2</v>
      </c>
    </row>
    <row r="20" spans="1:6" x14ac:dyDescent="0.45">
      <c r="A20">
        <v>7</v>
      </c>
      <c r="B20" t="s">
        <v>2</v>
      </c>
      <c r="C20">
        <v>170</v>
      </c>
      <c r="D20">
        <v>183.27738927738929</v>
      </c>
      <c r="E20">
        <f t="shared" si="0"/>
        <v>13.27738927738929</v>
      </c>
      <c r="F20" s="1">
        <f t="shared" si="1"/>
        <v>7.8102289866995828E-2</v>
      </c>
    </row>
    <row r="21" spans="1:6" x14ac:dyDescent="0.45">
      <c r="A21">
        <v>8</v>
      </c>
      <c r="B21" t="s">
        <v>2</v>
      </c>
      <c r="C21">
        <v>188</v>
      </c>
      <c r="D21">
        <v>183.66550116550115</v>
      </c>
      <c r="E21">
        <f t="shared" si="0"/>
        <v>4.3344988344988451</v>
      </c>
      <c r="F21" s="1">
        <f t="shared" si="1"/>
        <v>2.3055844864355558E-2</v>
      </c>
    </row>
    <row r="22" spans="1:6" x14ac:dyDescent="0.45">
      <c r="A22">
        <v>9</v>
      </c>
      <c r="B22" t="s">
        <v>2</v>
      </c>
      <c r="C22">
        <v>182</v>
      </c>
      <c r="D22">
        <v>184.05361305361305</v>
      </c>
      <c r="E22">
        <f t="shared" si="0"/>
        <v>2.0536130536130486</v>
      </c>
      <c r="F22" s="1">
        <f t="shared" si="1"/>
        <v>1.1283588206665102E-2</v>
      </c>
    </row>
    <row r="23" spans="1:6" x14ac:dyDescent="0.45">
      <c r="A23">
        <v>10</v>
      </c>
      <c r="B23" t="s">
        <v>2</v>
      </c>
      <c r="C23">
        <v>195</v>
      </c>
      <c r="D23">
        <v>184.44172494172494</v>
      </c>
      <c r="E23">
        <f t="shared" si="0"/>
        <v>10.558275058275058</v>
      </c>
      <c r="F23" s="1">
        <f t="shared" si="1"/>
        <v>5.4145000298846453E-2</v>
      </c>
    </row>
    <row r="24" spans="1:6" x14ac:dyDescent="0.45">
      <c r="A24">
        <v>11</v>
      </c>
      <c r="B24" t="s">
        <v>2</v>
      </c>
      <c r="C24">
        <v>172</v>
      </c>
      <c r="D24">
        <v>184.82983682983684</v>
      </c>
      <c r="E24">
        <f t="shared" si="0"/>
        <v>12.829836829836836</v>
      </c>
      <c r="F24" s="1">
        <f t="shared" si="1"/>
        <v>7.4592074592074634E-2</v>
      </c>
    </row>
    <row r="25" spans="1:6" x14ac:dyDescent="0.45">
      <c r="A25">
        <v>12</v>
      </c>
      <c r="B25" t="s">
        <v>2</v>
      </c>
      <c r="C25">
        <v>190</v>
      </c>
      <c r="D25">
        <v>185.21794871794873</v>
      </c>
      <c r="E25">
        <f t="shared" si="0"/>
        <v>4.7820512820512704</v>
      </c>
      <c r="F25" s="1">
        <f t="shared" si="1"/>
        <v>2.5168690958164579E-2</v>
      </c>
    </row>
    <row r="26" spans="1:6" x14ac:dyDescent="0.45">
      <c r="A26">
        <v>1</v>
      </c>
      <c r="B26" t="s">
        <v>3</v>
      </c>
      <c r="C26">
        <v>410</v>
      </c>
      <c r="D26">
        <v>412.82051282051282</v>
      </c>
      <c r="E26">
        <f t="shared" si="0"/>
        <v>2.8205128205128176</v>
      </c>
      <c r="F26" s="1">
        <f t="shared" si="1"/>
        <v>6.8792995622263845E-3</v>
      </c>
    </row>
    <row r="27" spans="1:6" x14ac:dyDescent="0.45">
      <c r="A27">
        <v>2</v>
      </c>
      <c r="B27" t="s">
        <v>3</v>
      </c>
      <c r="C27">
        <v>450</v>
      </c>
      <c r="D27">
        <v>423.51981351981351</v>
      </c>
      <c r="E27">
        <f t="shared" si="0"/>
        <v>26.480186480186489</v>
      </c>
      <c r="F27" s="1">
        <f t="shared" si="1"/>
        <v>5.8844858844858863E-2</v>
      </c>
    </row>
    <row r="28" spans="1:6" x14ac:dyDescent="0.45">
      <c r="A28">
        <v>3</v>
      </c>
      <c r="B28" t="s">
        <v>3</v>
      </c>
      <c r="C28">
        <v>380</v>
      </c>
      <c r="D28">
        <v>434.2191142191142</v>
      </c>
      <c r="E28">
        <f t="shared" si="0"/>
        <v>54.219114219114203</v>
      </c>
      <c r="F28" s="1">
        <f t="shared" si="1"/>
        <v>0.14268187952398476</v>
      </c>
    </row>
    <row r="29" spans="1:6" x14ac:dyDescent="0.45">
      <c r="A29">
        <v>4</v>
      </c>
      <c r="B29" t="s">
        <v>3</v>
      </c>
      <c r="C29">
        <v>500</v>
      </c>
      <c r="D29">
        <v>444.9184149184149</v>
      </c>
      <c r="E29">
        <f t="shared" si="0"/>
        <v>55.081585081585104</v>
      </c>
      <c r="F29" s="1">
        <f t="shared" si="1"/>
        <v>0.1101631701631702</v>
      </c>
    </row>
    <row r="30" spans="1:6" x14ac:dyDescent="0.45">
      <c r="A30">
        <v>5</v>
      </c>
      <c r="B30" t="s">
        <v>3</v>
      </c>
      <c r="C30">
        <v>420</v>
      </c>
      <c r="D30">
        <v>455.61771561771565</v>
      </c>
      <c r="E30">
        <f t="shared" si="0"/>
        <v>35.617715617715646</v>
      </c>
      <c r="F30" s="1">
        <f t="shared" si="1"/>
        <v>8.480408480408487E-2</v>
      </c>
    </row>
    <row r="31" spans="1:6" x14ac:dyDescent="0.45">
      <c r="A31">
        <v>6</v>
      </c>
      <c r="B31" t="s">
        <v>3</v>
      </c>
      <c r="C31">
        <v>530</v>
      </c>
      <c r="D31">
        <v>466.31701631701634</v>
      </c>
      <c r="E31">
        <f t="shared" si="0"/>
        <v>63.682983682983661</v>
      </c>
      <c r="F31" s="1">
        <f t="shared" si="1"/>
        <v>0.12015657298676162</v>
      </c>
    </row>
    <row r="32" spans="1:6" x14ac:dyDescent="0.45">
      <c r="A32">
        <v>7</v>
      </c>
      <c r="B32" t="s">
        <v>3</v>
      </c>
      <c r="C32">
        <v>390</v>
      </c>
      <c r="D32">
        <v>477.01631701631703</v>
      </c>
      <c r="E32">
        <f t="shared" si="0"/>
        <v>87.016317016317032</v>
      </c>
      <c r="F32" s="1">
        <f t="shared" si="1"/>
        <v>0.22311876158030008</v>
      </c>
    </row>
    <row r="33" spans="1:6" x14ac:dyDescent="0.45">
      <c r="A33">
        <v>8</v>
      </c>
      <c r="B33" t="s">
        <v>3</v>
      </c>
      <c r="C33">
        <v>560</v>
      </c>
      <c r="D33">
        <v>487.71561771561773</v>
      </c>
      <c r="E33">
        <f t="shared" si="0"/>
        <v>72.284382284382275</v>
      </c>
      <c r="F33" s="1">
        <f t="shared" si="1"/>
        <v>0.12907925407925405</v>
      </c>
    </row>
    <row r="34" spans="1:6" x14ac:dyDescent="0.45">
      <c r="A34">
        <v>9</v>
      </c>
      <c r="B34" t="s">
        <v>3</v>
      </c>
      <c r="C34">
        <v>430</v>
      </c>
      <c r="D34">
        <v>498.41491841491842</v>
      </c>
      <c r="E34">
        <f t="shared" si="0"/>
        <v>68.414918414918418</v>
      </c>
      <c r="F34" s="1">
        <f t="shared" si="1"/>
        <v>0.15910446143004284</v>
      </c>
    </row>
    <row r="35" spans="1:6" x14ac:dyDescent="0.45">
      <c r="A35">
        <v>10</v>
      </c>
      <c r="B35" t="s">
        <v>3</v>
      </c>
      <c r="C35">
        <v>580</v>
      </c>
      <c r="D35">
        <v>509.11421911421911</v>
      </c>
      <c r="E35">
        <f t="shared" si="0"/>
        <v>70.885780885780889</v>
      </c>
      <c r="F35" s="1">
        <f t="shared" si="1"/>
        <v>0.12221686359617395</v>
      </c>
    </row>
    <row r="36" spans="1:6" x14ac:dyDescent="0.45">
      <c r="A36">
        <v>11</v>
      </c>
      <c r="B36" t="s">
        <v>3</v>
      </c>
      <c r="C36">
        <v>410</v>
      </c>
      <c r="D36">
        <v>519.81351981351986</v>
      </c>
      <c r="E36">
        <f t="shared" si="0"/>
        <v>109.81351981351986</v>
      </c>
      <c r="F36" s="1">
        <f t="shared" si="1"/>
        <v>0.26783785320370695</v>
      </c>
    </row>
    <row r="37" spans="1:6" x14ac:dyDescent="0.45">
      <c r="A37">
        <v>12</v>
      </c>
      <c r="B37" t="s">
        <v>3</v>
      </c>
      <c r="C37">
        <v>600</v>
      </c>
      <c r="D37">
        <v>530.51282051282055</v>
      </c>
      <c r="E37">
        <f t="shared" si="0"/>
        <v>69.487179487179446</v>
      </c>
      <c r="F37" s="1">
        <f t="shared" si="1"/>
        <v>0.11581196581196575</v>
      </c>
    </row>
    <row r="38" spans="1:6" x14ac:dyDescent="0.45">
      <c r="A38">
        <v>1</v>
      </c>
      <c r="B38" t="s">
        <v>4</v>
      </c>
      <c r="C38">
        <v>1000</v>
      </c>
      <c r="D38">
        <v>1001.4102564102562</v>
      </c>
      <c r="E38">
        <f t="shared" si="0"/>
        <v>1.4102564102562383</v>
      </c>
      <c r="F38" s="1">
        <f t="shared" si="1"/>
        <v>1.4102564102562382E-3</v>
      </c>
    </row>
    <row r="39" spans="1:6" x14ac:dyDescent="0.45">
      <c r="A39">
        <v>2</v>
      </c>
      <c r="B39" t="s">
        <v>4</v>
      </c>
      <c r="C39">
        <v>1020</v>
      </c>
      <c r="D39">
        <v>1021.3053613053612</v>
      </c>
      <c r="E39">
        <f t="shared" si="0"/>
        <v>1.3053613053612025</v>
      </c>
      <c r="F39" s="1">
        <f t="shared" si="1"/>
        <v>1.2797659856482377E-3</v>
      </c>
    </row>
    <row r="40" spans="1:6" x14ac:dyDescent="0.45">
      <c r="A40">
        <v>3</v>
      </c>
      <c r="B40" t="s">
        <v>4</v>
      </c>
      <c r="C40">
        <v>1045</v>
      </c>
      <c r="D40">
        <v>1041.2004662004661</v>
      </c>
      <c r="E40">
        <f t="shared" si="0"/>
        <v>3.7995337995339469</v>
      </c>
      <c r="F40" s="1">
        <f t="shared" si="1"/>
        <v>3.6359175115157388E-3</v>
      </c>
    </row>
    <row r="41" spans="1:6" x14ac:dyDescent="0.45">
      <c r="A41">
        <v>4</v>
      </c>
      <c r="B41" t="s">
        <v>4</v>
      </c>
      <c r="C41">
        <v>1060</v>
      </c>
      <c r="D41">
        <v>1061.0955710955709</v>
      </c>
      <c r="E41">
        <f t="shared" si="0"/>
        <v>1.0955710955709037</v>
      </c>
      <c r="F41" s="1">
        <f t="shared" si="1"/>
        <v>1.0335576373310413E-3</v>
      </c>
    </row>
    <row r="42" spans="1:6" x14ac:dyDescent="0.45">
      <c r="A42">
        <v>5</v>
      </c>
      <c r="B42" t="s">
        <v>4</v>
      </c>
      <c r="C42">
        <v>1080</v>
      </c>
      <c r="D42">
        <v>1080.9906759906758</v>
      </c>
      <c r="E42">
        <f t="shared" si="0"/>
        <v>0.99067599067575429</v>
      </c>
      <c r="F42" s="1">
        <f t="shared" si="1"/>
        <v>9.1729258395903174E-4</v>
      </c>
    </row>
    <row r="43" spans="1:6" x14ac:dyDescent="0.45">
      <c r="A43">
        <v>6</v>
      </c>
      <c r="B43" t="s">
        <v>4</v>
      </c>
      <c r="C43">
        <v>1100</v>
      </c>
      <c r="D43">
        <v>1100.8857808857808</v>
      </c>
      <c r="E43">
        <f t="shared" si="0"/>
        <v>0.88578088578083225</v>
      </c>
      <c r="F43" s="1">
        <f t="shared" si="1"/>
        <v>8.052553507098475E-4</v>
      </c>
    </row>
    <row r="44" spans="1:6" x14ac:dyDescent="0.45">
      <c r="A44">
        <v>7</v>
      </c>
      <c r="B44" t="s">
        <v>4</v>
      </c>
      <c r="C44">
        <v>1125</v>
      </c>
      <c r="D44">
        <v>1120.7808857808857</v>
      </c>
      <c r="E44">
        <f t="shared" si="0"/>
        <v>4.2191142191143172</v>
      </c>
      <c r="F44" s="1">
        <f t="shared" si="1"/>
        <v>3.7503237503238376E-3</v>
      </c>
    </row>
    <row r="45" spans="1:6" x14ac:dyDescent="0.45">
      <c r="A45">
        <v>8</v>
      </c>
      <c r="B45" t="s">
        <v>4</v>
      </c>
      <c r="C45">
        <v>1140</v>
      </c>
      <c r="D45">
        <v>1140.6759906759905</v>
      </c>
      <c r="E45">
        <f t="shared" si="0"/>
        <v>0.67599067599053342</v>
      </c>
      <c r="F45" s="1">
        <f t="shared" si="1"/>
        <v>5.9297427718467844E-4</v>
      </c>
    </row>
    <row r="46" spans="1:6" x14ac:dyDescent="0.45">
      <c r="A46">
        <v>9</v>
      </c>
      <c r="B46" t="s">
        <v>4</v>
      </c>
      <c r="C46">
        <v>1160</v>
      </c>
      <c r="D46">
        <v>1160.5710955710954</v>
      </c>
      <c r="E46">
        <f t="shared" si="0"/>
        <v>0.571095571095384</v>
      </c>
      <c r="F46" s="1">
        <f t="shared" si="1"/>
        <v>4.923237681856759E-4</v>
      </c>
    </row>
    <row r="47" spans="1:6" x14ac:dyDescent="0.45">
      <c r="A47">
        <v>10</v>
      </c>
      <c r="B47" t="s">
        <v>4</v>
      </c>
      <c r="C47">
        <v>1180</v>
      </c>
      <c r="D47">
        <v>1180.4662004662005</v>
      </c>
      <c r="E47">
        <f t="shared" si="0"/>
        <v>0.46620046620046196</v>
      </c>
      <c r="F47" s="1">
        <f t="shared" si="1"/>
        <v>3.9508514084784911E-4</v>
      </c>
    </row>
    <row r="48" spans="1:6" x14ac:dyDescent="0.45">
      <c r="A48">
        <v>11</v>
      </c>
      <c r="B48" t="s">
        <v>4</v>
      </c>
      <c r="C48">
        <v>1200</v>
      </c>
      <c r="D48">
        <v>1200.3613053613053</v>
      </c>
      <c r="E48">
        <f t="shared" si="0"/>
        <v>0.36130536130531254</v>
      </c>
      <c r="F48" s="1">
        <f t="shared" si="1"/>
        <v>3.0108780108776043E-4</v>
      </c>
    </row>
    <row r="49" spans="1:6" x14ac:dyDescent="0.45">
      <c r="A49">
        <v>12</v>
      </c>
      <c r="B49" t="s">
        <v>4</v>
      </c>
      <c r="C49">
        <v>1220</v>
      </c>
      <c r="D49">
        <v>1220.2564102564102</v>
      </c>
      <c r="E49">
        <f t="shared" si="0"/>
        <v>0.25641025641016313</v>
      </c>
      <c r="F49" s="1">
        <f t="shared" si="1"/>
        <v>2.1017234131980584E-4</v>
      </c>
    </row>
    <row r="50" spans="1:6" x14ac:dyDescent="0.45">
      <c r="A50">
        <v>1</v>
      </c>
      <c r="B50" t="s">
        <v>5</v>
      </c>
      <c r="C50">
        <v>310</v>
      </c>
      <c r="D50">
        <v>318.85897435897436</v>
      </c>
      <c r="E50">
        <f t="shared" si="0"/>
        <v>8.8589743589743648</v>
      </c>
      <c r="F50" s="1">
        <f t="shared" si="1"/>
        <v>2.8577336641852788E-2</v>
      </c>
    </row>
    <row r="51" spans="1:6" x14ac:dyDescent="0.45">
      <c r="A51">
        <v>2</v>
      </c>
      <c r="B51" t="s">
        <v>5</v>
      </c>
      <c r="C51">
        <v>325</v>
      </c>
      <c r="D51">
        <v>325.27855477855479</v>
      </c>
      <c r="E51">
        <f t="shared" si="0"/>
        <v>0.27855477855479194</v>
      </c>
      <c r="F51" s="1">
        <f t="shared" si="1"/>
        <v>8.5709162632243677E-4</v>
      </c>
    </row>
    <row r="52" spans="1:6" x14ac:dyDescent="0.45">
      <c r="A52">
        <v>3</v>
      </c>
      <c r="B52" t="s">
        <v>5</v>
      </c>
      <c r="C52">
        <v>340</v>
      </c>
      <c r="D52">
        <v>331.69813519813522</v>
      </c>
      <c r="E52">
        <f t="shared" si="0"/>
        <v>8.3018648018647809</v>
      </c>
      <c r="F52" s="1">
        <f t="shared" si="1"/>
        <v>2.4417249417249355E-2</v>
      </c>
    </row>
    <row r="53" spans="1:6" x14ac:dyDescent="0.45">
      <c r="A53">
        <v>4</v>
      </c>
      <c r="B53" t="s">
        <v>5</v>
      </c>
      <c r="C53">
        <v>332</v>
      </c>
      <c r="D53">
        <v>338.11771561771559</v>
      </c>
      <c r="E53">
        <f t="shared" si="0"/>
        <v>6.1177156177155894</v>
      </c>
      <c r="F53" s="1">
        <f t="shared" si="1"/>
        <v>1.842685427022768E-2</v>
      </c>
    </row>
    <row r="54" spans="1:6" x14ac:dyDescent="0.45">
      <c r="A54">
        <v>5</v>
      </c>
      <c r="B54" t="s">
        <v>5</v>
      </c>
      <c r="C54">
        <v>348</v>
      </c>
      <c r="D54">
        <v>344.53729603729602</v>
      </c>
      <c r="E54">
        <f t="shared" si="0"/>
        <v>3.4627039627039835</v>
      </c>
      <c r="F54" s="1">
        <f t="shared" si="1"/>
        <v>9.950298743402251E-3</v>
      </c>
    </row>
    <row r="55" spans="1:6" x14ac:dyDescent="0.45">
      <c r="A55">
        <v>6</v>
      </c>
      <c r="B55" t="s">
        <v>5</v>
      </c>
      <c r="C55">
        <v>360</v>
      </c>
      <c r="D55">
        <v>350.95687645687644</v>
      </c>
      <c r="E55">
        <f t="shared" si="0"/>
        <v>9.0431235431235564</v>
      </c>
      <c r="F55" s="1">
        <f t="shared" si="1"/>
        <v>2.5119787619787656E-2</v>
      </c>
    </row>
    <row r="56" spans="1:6" x14ac:dyDescent="0.45">
      <c r="A56">
        <v>7</v>
      </c>
      <c r="B56" t="s">
        <v>5</v>
      </c>
      <c r="C56">
        <v>355</v>
      </c>
      <c r="D56">
        <v>357.37645687645687</v>
      </c>
      <c r="E56">
        <f t="shared" si="0"/>
        <v>2.3764568764568708</v>
      </c>
      <c r="F56" s="1">
        <f t="shared" si="1"/>
        <v>6.6942447224137202E-3</v>
      </c>
    </row>
    <row r="57" spans="1:6" x14ac:dyDescent="0.45">
      <c r="A57">
        <v>8</v>
      </c>
      <c r="B57" t="s">
        <v>5</v>
      </c>
      <c r="C57">
        <v>370</v>
      </c>
      <c r="D57">
        <v>363.7960372960373</v>
      </c>
      <c r="E57">
        <f t="shared" si="0"/>
        <v>6.2039627039627021</v>
      </c>
      <c r="F57" s="1">
        <f t="shared" si="1"/>
        <v>1.6767466767466762E-2</v>
      </c>
    </row>
    <row r="58" spans="1:6" x14ac:dyDescent="0.45">
      <c r="A58">
        <v>9</v>
      </c>
      <c r="B58" t="s">
        <v>5</v>
      </c>
      <c r="C58">
        <v>365</v>
      </c>
      <c r="D58">
        <v>370.21561771561773</v>
      </c>
      <c r="E58">
        <f t="shared" si="0"/>
        <v>5.215617715617725</v>
      </c>
      <c r="F58" s="1">
        <f t="shared" si="1"/>
        <v>1.4289363604432124E-2</v>
      </c>
    </row>
    <row r="59" spans="1:6" x14ac:dyDescent="0.45">
      <c r="A59">
        <v>10</v>
      </c>
      <c r="B59" t="s">
        <v>5</v>
      </c>
      <c r="C59">
        <v>380</v>
      </c>
      <c r="D59">
        <v>376.63519813519815</v>
      </c>
      <c r="E59">
        <f t="shared" si="0"/>
        <v>3.3648018648018478</v>
      </c>
      <c r="F59" s="1">
        <f t="shared" si="1"/>
        <v>8.8547417494785462E-3</v>
      </c>
    </row>
    <row r="60" spans="1:6" x14ac:dyDescent="0.45">
      <c r="A60">
        <v>11</v>
      </c>
      <c r="B60" t="s">
        <v>5</v>
      </c>
      <c r="C60">
        <v>375</v>
      </c>
      <c r="D60">
        <v>383.05477855477852</v>
      </c>
      <c r="E60">
        <f t="shared" si="0"/>
        <v>8.0547785547785224</v>
      </c>
      <c r="F60" s="1">
        <f t="shared" si="1"/>
        <v>2.1479409479409392E-2</v>
      </c>
    </row>
    <row r="61" spans="1:6" x14ac:dyDescent="0.45">
      <c r="A61">
        <v>12</v>
      </c>
      <c r="B61" t="s">
        <v>5</v>
      </c>
      <c r="C61">
        <v>390</v>
      </c>
      <c r="D61">
        <v>389.47435897435895</v>
      </c>
      <c r="E61">
        <f t="shared" si="0"/>
        <v>0.52564102564105042</v>
      </c>
      <c r="F61" s="1">
        <f t="shared" si="1"/>
        <v>1.3477975016437189E-3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C4F6-6678-442A-8829-74C406C13DF8}">
  <dimension ref="A1:D6"/>
  <sheetViews>
    <sheetView tabSelected="1" workbookViewId="0">
      <selection activeCell="L16" sqref="L16"/>
    </sheetView>
  </sheetViews>
  <sheetFormatPr baseColWidth="10" defaultRowHeight="14.25" x14ac:dyDescent="0.45"/>
  <sheetData>
    <row r="1" spans="1:4" x14ac:dyDescent="0.45">
      <c r="A1" t="s">
        <v>21</v>
      </c>
      <c r="B1" t="s">
        <v>26</v>
      </c>
      <c r="C1" t="s">
        <v>27</v>
      </c>
      <c r="D1" t="s">
        <v>28</v>
      </c>
    </row>
    <row r="2" spans="1:4" x14ac:dyDescent="0.45">
      <c r="A2" t="s">
        <v>1</v>
      </c>
      <c r="B2">
        <f>AVERAGE(Errores!E2:E13)</f>
        <v>0.63209013209014608</v>
      </c>
      <c r="C2" s="2">
        <f>AVERAGE(Errores!F2:F13)</f>
        <v>1.0797629895693162E-3</v>
      </c>
      <c r="D2" t="str">
        <f>IF(C2&lt;=0.1, "Alta", IF(C2&lt;=0.2, "Media", "Baja"))</f>
        <v>Alta</v>
      </c>
    </row>
    <row r="3" spans="1:4" x14ac:dyDescent="0.45">
      <c r="A3" t="s">
        <v>2</v>
      </c>
      <c r="B3" s="3">
        <f>AVERAGE(Errores!E14:E25)</f>
        <v>6.6579254079254113</v>
      </c>
      <c r="C3" s="2">
        <f>AVERAGE(Errores!F14:F25)</f>
        <v>3.6643815088587613E-2</v>
      </c>
      <c r="D3" t="str">
        <f t="shared" ref="D3:D6" si="0">IF(C3&lt;=0.1, "Alta", IF(C3&lt;=0.2, "Media", "Baja"))</f>
        <v>Alta</v>
      </c>
    </row>
    <row r="4" spans="1:4" x14ac:dyDescent="0.45">
      <c r="A4" t="s">
        <v>3</v>
      </c>
      <c r="B4">
        <f>AVERAGE(Errores!E26:E37)</f>
        <v>59.650349650349654</v>
      </c>
      <c r="C4" s="2">
        <f>AVERAGE(Errores!F26:F37)</f>
        <v>0.12839158546554419</v>
      </c>
      <c r="D4" t="str">
        <f t="shared" si="0"/>
        <v>Media</v>
      </c>
    </row>
    <row r="5" spans="1:4" x14ac:dyDescent="0.45">
      <c r="A5" t="s">
        <v>4</v>
      </c>
      <c r="B5">
        <f>AVERAGE(Errores!E38:E49)</f>
        <v>1.3364413364412542</v>
      </c>
      <c r="C5" s="2">
        <f>AVERAGE(Errores!F38:F49)</f>
        <v>1.2353343798641452E-3</v>
      </c>
      <c r="D5" t="str">
        <f t="shared" si="0"/>
        <v>Alta</v>
      </c>
    </row>
    <row r="6" spans="1:4" x14ac:dyDescent="0.45">
      <c r="A6" t="s">
        <v>5</v>
      </c>
      <c r="B6">
        <f>AVERAGE(Errores!E50:E61)</f>
        <v>5.1503496503496491</v>
      </c>
      <c r="C6" s="2">
        <f>AVERAGE(Errores!F50:F61)</f>
        <v>1.4731803511973868E-2</v>
      </c>
      <c r="D6" t="str">
        <f t="shared" si="0"/>
        <v>Alta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Demanda</vt:lpstr>
      <vt:lpstr>Pronosticos</vt:lpstr>
      <vt:lpstr>Errores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Rivera</dc:creator>
  <cp:lastModifiedBy>Alberto Rivera</cp:lastModifiedBy>
  <dcterms:created xsi:type="dcterms:W3CDTF">2026-08-11T15:57:20Z</dcterms:created>
  <dcterms:modified xsi:type="dcterms:W3CDTF">2026-08-12T00:53:06Z</dcterms:modified>
</cp:coreProperties>
</file>